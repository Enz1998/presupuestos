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nzoirribarra/Downloads/"/>
    </mc:Choice>
  </mc:AlternateContent>
  <xr:revisionPtr revIDLastSave="0" documentId="11_43CB4C9379F53B99ECABD1272C1AE143CB24CBE1" xr6:coauthVersionLast="47" xr6:coauthVersionMax="47" xr10:uidLastSave="{00000000-0000-0000-0000-000000000000}"/>
  <bookViews>
    <workbookView xWindow="4220" yWindow="600" windowWidth="23940" windowHeight="17020" xr2:uid="{00000000-000D-0000-FFFF-FFFF00000000}"/>
  </bookViews>
  <sheets>
    <sheet name="Lista de precios" sheetId="1" r:id="rId1"/>
    <sheet name="Referenc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I56" i="1" s="1"/>
  <c r="F56" i="1"/>
  <c r="D56" i="1"/>
  <c r="H55" i="1"/>
  <c r="I55" i="1" s="1"/>
  <c r="F55" i="1"/>
  <c r="D55" i="1"/>
  <c r="H54" i="1"/>
  <c r="I54" i="1" s="1"/>
  <c r="F54" i="1"/>
  <c r="D54" i="1"/>
  <c r="H53" i="1"/>
  <c r="I53" i="1" s="1"/>
  <c r="F53" i="1"/>
  <c r="D53" i="1"/>
  <c r="H52" i="1"/>
  <c r="I52" i="1" s="1"/>
  <c r="F52" i="1"/>
  <c r="D52" i="1"/>
  <c r="H51" i="1"/>
  <c r="I51" i="1" s="1"/>
  <c r="F51" i="1"/>
  <c r="D51" i="1"/>
  <c r="H50" i="1"/>
  <c r="I50" i="1" s="1"/>
  <c r="F50" i="1"/>
  <c r="D50" i="1"/>
  <c r="H49" i="1"/>
  <c r="I49" i="1" s="1"/>
  <c r="F49" i="1"/>
  <c r="D49" i="1"/>
  <c r="H48" i="1"/>
  <c r="I48" i="1" s="1"/>
  <c r="F48" i="1"/>
  <c r="D48" i="1"/>
  <c r="H47" i="1"/>
  <c r="I47" i="1" s="1"/>
  <c r="F47" i="1"/>
  <c r="D47" i="1"/>
  <c r="H46" i="1"/>
  <c r="I46" i="1" s="1"/>
  <c r="F46" i="1"/>
  <c r="D46" i="1"/>
  <c r="H45" i="1"/>
  <c r="I45" i="1" s="1"/>
  <c r="F45" i="1"/>
  <c r="D45" i="1"/>
  <c r="H44" i="1"/>
  <c r="I44" i="1" s="1"/>
  <c r="F44" i="1"/>
  <c r="D44" i="1"/>
  <c r="H43" i="1"/>
  <c r="I43" i="1" s="1"/>
  <c r="F43" i="1"/>
  <c r="D43" i="1"/>
  <c r="H42" i="1"/>
  <c r="I42" i="1" s="1"/>
  <c r="F42" i="1"/>
  <c r="D42" i="1"/>
  <c r="H41" i="1"/>
  <c r="I41" i="1" s="1"/>
  <c r="F41" i="1"/>
  <c r="D41" i="1"/>
  <c r="H40" i="1"/>
  <c r="I40" i="1" s="1"/>
  <c r="F40" i="1"/>
  <c r="D40" i="1"/>
  <c r="I39" i="1"/>
  <c r="H39" i="1"/>
  <c r="F39" i="1"/>
  <c r="D39" i="1"/>
  <c r="H38" i="1"/>
  <c r="I38" i="1" s="1"/>
  <c r="F38" i="1"/>
  <c r="D38" i="1"/>
  <c r="H37" i="1"/>
  <c r="I37" i="1" s="1"/>
  <c r="F37" i="1"/>
  <c r="D37" i="1"/>
  <c r="H36" i="1"/>
  <c r="I36" i="1" s="1"/>
  <c r="F36" i="1"/>
  <c r="D36" i="1"/>
  <c r="H35" i="1"/>
  <c r="I35" i="1" s="1"/>
  <c r="F35" i="1"/>
  <c r="D35" i="1"/>
  <c r="H34" i="1"/>
  <c r="I34" i="1" s="1"/>
  <c r="F34" i="1"/>
  <c r="D34" i="1"/>
  <c r="H33" i="1"/>
  <c r="I33" i="1" s="1"/>
  <c r="F33" i="1"/>
  <c r="D33" i="1"/>
  <c r="H32" i="1"/>
  <c r="I32" i="1" s="1"/>
  <c r="F32" i="1"/>
  <c r="D32" i="1"/>
  <c r="H31" i="1"/>
  <c r="I31" i="1" s="1"/>
  <c r="F31" i="1"/>
  <c r="D31" i="1"/>
  <c r="H30" i="1"/>
  <c r="I30" i="1" s="1"/>
  <c r="F30" i="1"/>
  <c r="D30" i="1"/>
  <c r="H29" i="1"/>
  <c r="I29" i="1" s="1"/>
  <c r="F29" i="1"/>
  <c r="D29" i="1"/>
  <c r="H28" i="1"/>
  <c r="I28" i="1" s="1"/>
  <c r="F28" i="1"/>
  <c r="D28" i="1"/>
  <c r="H27" i="1"/>
  <c r="I27" i="1" s="1"/>
  <c r="F27" i="1"/>
  <c r="D27" i="1"/>
  <c r="H26" i="1"/>
  <c r="I26" i="1" s="1"/>
  <c r="F26" i="1"/>
  <c r="D26" i="1"/>
  <c r="H25" i="1"/>
  <c r="I25" i="1" s="1"/>
  <c r="F25" i="1"/>
  <c r="D25" i="1"/>
  <c r="H24" i="1"/>
  <c r="I24" i="1" s="1"/>
  <c r="F24" i="1"/>
  <c r="D24" i="1"/>
  <c r="H23" i="1"/>
  <c r="I23" i="1" s="1"/>
  <c r="F23" i="1"/>
  <c r="D23" i="1"/>
  <c r="H22" i="1"/>
  <c r="I22" i="1" s="1"/>
  <c r="F22" i="1"/>
  <c r="D22" i="1"/>
  <c r="H21" i="1"/>
  <c r="I21" i="1" s="1"/>
  <c r="F21" i="1"/>
  <c r="D21" i="1"/>
  <c r="H20" i="1"/>
  <c r="I20" i="1" s="1"/>
  <c r="F20" i="1"/>
  <c r="D20" i="1"/>
  <c r="H19" i="1"/>
  <c r="I19" i="1" s="1"/>
  <c r="F19" i="1"/>
  <c r="D19" i="1"/>
  <c r="H18" i="1"/>
  <c r="I18" i="1" s="1"/>
  <c r="F18" i="1"/>
  <c r="D18" i="1"/>
  <c r="H17" i="1"/>
  <c r="I17" i="1" s="1"/>
  <c r="F17" i="1"/>
  <c r="D17" i="1"/>
  <c r="H16" i="1"/>
  <c r="I16" i="1" s="1"/>
  <c r="F16" i="1"/>
  <c r="D16" i="1"/>
  <c r="H15" i="1"/>
  <c r="I15" i="1" s="1"/>
  <c r="F15" i="1"/>
  <c r="D15" i="1"/>
  <c r="H14" i="1"/>
  <c r="I14" i="1" s="1"/>
  <c r="F14" i="1"/>
  <c r="D14" i="1"/>
  <c r="I13" i="1"/>
  <c r="H13" i="1"/>
  <c r="F13" i="1"/>
  <c r="D13" i="1"/>
  <c r="H12" i="1"/>
  <c r="I12" i="1" s="1"/>
  <c r="F12" i="1"/>
  <c r="D12" i="1"/>
  <c r="H11" i="1"/>
  <c r="I11" i="1" s="1"/>
  <c r="F11" i="1"/>
  <c r="D11" i="1"/>
  <c r="H10" i="1"/>
  <c r="I10" i="1" s="1"/>
  <c r="F10" i="1"/>
  <c r="D10" i="1"/>
  <c r="H9" i="1"/>
  <c r="I9" i="1" s="1"/>
  <c r="F9" i="1"/>
  <c r="D9" i="1"/>
  <c r="H8" i="1"/>
  <c r="I8" i="1" s="1"/>
  <c r="F8" i="1"/>
  <c r="D8" i="1"/>
  <c r="H7" i="1"/>
  <c r="I7" i="1" s="1"/>
  <c r="F7" i="1"/>
  <c r="D7" i="1"/>
  <c r="H6" i="1"/>
  <c r="I6" i="1" s="1"/>
  <c r="F6" i="1"/>
  <c r="D6" i="1"/>
  <c r="H5" i="1"/>
  <c r="I5" i="1" s="1"/>
  <c r="F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000-000001000000}">
      <text>
        <r>
          <rPr>
            <sz val="11"/>
            <color theme="1"/>
            <rFont val="Calibri"/>
            <scheme val="minor"/>
          </rPr>
          <t>Porcentaje de aumento sobre la lista actual. Pedido por Martín Bayugar (15%). Cambiá este valor y se recalcula toda la lista.</t>
        </r>
      </text>
    </comment>
  </commentList>
</comments>
</file>

<file path=xl/sharedStrings.xml><?xml version="1.0" encoding="utf-8"?>
<sst xmlns="http://schemas.openxmlformats.org/spreadsheetml/2006/main" count="37" uniqueCount="35">
  <si>
    <t>Referencias</t>
  </si>
  <si>
    <t>Naaloo · Lista de precios por usuario</t>
  </si>
  <si>
    <t>Columna / marca</t>
  </si>
  <si>
    <t>Significado</t>
  </si>
  <si>
    <t>Desde / Hasta</t>
  </si>
  <si>
    <t>Límites del tramo en cantidad de usuarios (colaboradores activos).</t>
  </si>
  <si>
    <t>Aumento aplicado</t>
  </si>
  <si>
    <t>Precio por usuario</t>
  </si>
  <si>
    <t>Valor mensual por usuario aplicable a toda la cuenta cuando su cantidad cae en ese tramo. Fuente, tabla de precios provista por Martín Bayugar (oct-2026).</t>
  </si>
  <si>
    <t>Total mensual al tope</t>
  </si>
  <si>
    <t>Facturación mensual de una cuenta con la cantidad máxima de usuarios del tramo (Hasta × Precio).</t>
  </si>
  <si>
    <t>Var. precio vs. tramo anterior</t>
  </si>
  <si>
    <t>Cuánto baja el precio por usuario respecto del tramo inmediatamente anterior.</t>
  </si>
  <si>
    <t>Ahorro vs. tramo 1</t>
  </si>
  <si>
    <t>Descuento por volumen frente al precio de lista del primer tramo ($6.300).</t>
  </si>
  <si>
    <t>Lista con aumento</t>
  </si>
  <si>
    <t>Precio por usuario = precio actual × (1 + aumento). El aumento se define en la celda amarilla K2 de la hoja Lista de precios (15% por defecto).</t>
  </si>
  <si>
    <t>Texto azul</t>
  </si>
  <si>
    <t>Valores cargados a mano (editables). El resto son fórmulas.</t>
  </si>
  <si>
    <t>Fila amarilla</t>
  </si>
  <si>
    <t>Valor propuesto por corrección o tramo faltante, a validar antes de publicar.</t>
  </si>
  <si>
    <t>Celda amarilla (cotizador)</t>
  </si>
  <si>
    <t>Ingresar la cantidad de usuarios para obtener precio y total.</t>
  </si>
  <si>
    <t>Lista actual</t>
  </si>
  <si>
    <t>Moneda</t>
  </si>
  <si>
    <t>Pesos argentinos. Confirmar si los valores son con o sin IVA.</t>
  </si>
  <si>
    <t>Más de 1.600 usuarios</t>
  </si>
  <si>
    <t>Fuera de tabla, cotización especial.</t>
  </si>
  <si>
    <t xml:space="preserve">Lista con Aumento </t>
  </si>
  <si>
    <t>Tramo</t>
  </si>
  <si>
    <t>Desde</t>
  </si>
  <si>
    <t>Hasta</t>
  </si>
  <si>
    <t>Rango de usuarios</t>
  </si>
  <si>
    <t>Precio por usuario ($)</t>
  </si>
  <si>
    <t>Total mensual al tope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</si>
</sst>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6" x14ac:knownFonts="1">
    <font>
      <sz val="11"/>
      <color theme="1"/>
      <name val="Calibri"/>
      <scheme val="minor"/>
    </font>
    <font>
      <b/>
      <sz val="14"/>
      <color rgb="FF1F3A5F"/>
      <name val="Arial"/>
      <family val="2"/>
    </font>
    <font>
      <b/>
      <sz val="14"/>
      <color rgb="FF1F3A5F"/>
      <name val="Verdana"/>
      <family val="2"/>
    </font>
    <font>
      <sz val="11"/>
      <color theme="1"/>
      <name val="Verdana"/>
      <family val="2"/>
    </font>
    <font>
      <b/>
      <sz val="11"/>
      <color rgb="FFFFFFFF"/>
      <name val="Arial"/>
      <family val="2"/>
    </font>
    <font>
      <i/>
      <sz val="9"/>
      <color rgb="FF666666"/>
      <name val="Verdana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Verdana"/>
      <family val="2"/>
    </font>
    <font>
      <b/>
      <sz val="11"/>
      <color rgb="FF0000FF"/>
      <name val="Arial"/>
      <family val="2"/>
    </font>
    <font>
      <b/>
      <sz val="11"/>
      <color rgb="FF0000FF"/>
      <name val="Verdana"/>
      <family val="2"/>
    </font>
    <font>
      <b/>
      <sz val="11"/>
      <color rgb="FF1F3A5F"/>
      <name val="Verdana"/>
      <family val="2"/>
    </font>
    <font>
      <b/>
      <sz val="11"/>
      <color rgb="FF2E6B4F"/>
      <name val="Verdana"/>
      <family val="2"/>
    </font>
    <font>
      <b/>
      <sz val="11"/>
      <color rgb="FFFFFFFF"/>
      <name val="Verdana"/>
      <family val="2"/>
    </font>
    <font>
      <sz val="11"/>
      <color theme="1"/>
      <name val="Verdana"/>
      <family val="2"/>
    </font>
    <font>
      <sz val="11"/>
      <color rgb="FF0000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2E6B4F"/>
        <bgColor rgb="FF2E6B4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9" fillId="0" borderId="0" xfId="0" applyFont="1" applyAlignment="1">
      <alignment vertical="top"/>
    </xf>
    <xf numFmtId="9" fontId="10" fillId="3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vertical="top"/>
    </xf>
    <xf numFmtId="0" fontId="13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3" fontId="15" fillId="4" borderId="3" xfId="0" applyNumberFormat="1" applyFont="1" applyFill="1" applyBorder="1" applyAlignment="1">
      <alignment horizontal="center"/>
    </xf>
    <xf numFmtId="164" fontId="15" fillId="4" borderId="3" xfId="0" applyNumberFormat="1" applyFont="1" applyFill="1" applyBorder="1" applyAlignment="1">
      <alignment horizontal="center"/>
    </xf>
    <xf numFmtId="164" fontId="14" fillId="4" borderId="3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4"/>
  <sheetViews>
    <sheetView tabSelected="1" workbookViewId="0">
      <pane ySplit="4" topLeftCell="A5" activePane="bottomLeft" state="frozen"/>
      <selection pane="bottomLeft" activeCell="K19" sqref="K19"/>
    </sheetView>
  </sheetViews>
  <sheetFormatPr baseColWidth="10" defaultColWidth="14.5" defaultRowHeight="15" customHeight="1" x14ac:dyDescent="0.2"/>
  <cols>
    <col min="1" max="1" width="8" customWidth="1"/>
    <col min="2" max="3" width="9" customWidth="1"/>
    <col min="4" max="4" width="20" customWidth="1"/>
    <col min="5" max="5" width="18" customWidth="1"/>
    <col min="6" max="6" width="22" customWidth="1"/>
    <col min="7" max="7" width="3" customWidth="1"/>
    <col min="8" max="9" width="22" customWidth="1"/>
    <col min="10" max="23" width="8.6640625" customWidth="1"/>
  </cols>
  <sheetData>
    <row r="1" spans="1:23" ht="18" x14ac:dyDescent="0.2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">
      <c r="A2" s="6"/>
      <c r="B2" s="3"/>
      <c r="C2" s="3"/>
      <c r="D2" s="3"/>
      <c r="E2" s="3"/>
      <c r="F2" s="3"/>
      <c r="G2" s="3"/>
      <c r="H2" s="9" t="s">
        <v>6</v>
      </c>
      <c r="I2" s="11">
        <v>0.2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">
      <c r="A3" s="23" t="s">
        <v>23</v>
      </c>
      <c r="B3" s="24"/>
      <c r="C3" s="24"/>
      <c r="D3" s="24"/>
      <c r="E3" s="24"/>
      <c r="F3" s="24"/>
      <c r="G3" s="3"/>
      <c r="H3" s="25" t="s">
        <v>28</v>
      </c>
      <c r="I3" s="2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31.5" customHeight="1" x14ac:dyDescent="0.2">
      <c r="A4" s="13" t="s">
        <v>29</v>
      </c>
      <c r="B4" s="13" t="s">
        <v>30</v>
      </c>
      <c r="C4" s="13" t="s">
        <v>31</v>
      </c>
      <c r="D4" s="13" t="s">
        <v>32</v>
      </c>
      <c r="E4" s="13" t="s">
        <v>33</v>
      </c>
      <c r="F4" s="13" t="s">
        <v>34</v>
      </c>
      <c r="G4" s="3"/>
      <c r="H4" s="14" t="s">
        <v>33</v>
      </c>
      <c r="I4" s="14" t="s">
        <v>34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">
      <c r="A5" s="15">
        <v>1</v>
      </c>
      <c r="B5" s="16">
        <v>0</v>
      </c>
      <c r="C5" s="16">
        <v>10</v>
      </c>
      <c r="D5" s="15" t="str">
        <f t="shared" ref="D5:D56" si="0">TEXT(B5,"#,##0")&amp;" a "&amp;TEXT(C5,"#,##0")</f>
        <v>,0 a 10,0</v>
      </c>
      <c r="E5" s="17">
        <v>6300</v>
      </c>
      <c r="F5" s="18">
        <f t="shared" ref="F5:F56" si="1">C5*E5</f>
        <v>63000</v>
      </c>
      <c r="G5" s="3"/>
      <c r="H5" s="18">
        <f t="shared" ref="H5:H56" si="2">E5*(1+$I$2)</f>
        <v>7560</v>
      </c>
      <c r="I5" s="18">
        <f t="shared" ref="I5:I56" si="3">C5*H5</f>
        <v>75600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">
      <c r="A6" s="15">
        <v>2</v>
      </c>
      <c r="B6" s="16">
        <v>11</v>
      </c>
      <c r="C6" s="16">
        <v>15</v>
      </c>
      <c r="D6" s="15" t="str">
        <f t="shared" si="0"/>
        <v>11,0 a 15,0</v>
      </c>
      <c r="E6" s="17">
        <v>5655</v>
      </c>
      <c r="F6" s="18">
        <f t="shared" si="1"/>
        <v>84825</v>
      </c>
      <c r="G6" s="3"/>
      <c r="H6" s="18">
        <f t="shared" si="2"/>
        <v>6786</v>
      </c>
      <c r="I6" s="18">
        <f t="shared" si="3"/>
        <v>101790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">
      <c r="A7" s="15">
        <v>3</v>
      </c>
      <c r="B7" s="16">
        <v>16</v>
      </c>
      <c r="C7" s="16">
        <v>20</v>
      </c>
      <c r="D7" s="15" t="str">
        <f t="shared" si="0"/>
        <v>16,0 a 20,0</v>
      </c>
      <c r="E7" s="17">
        <v>5180</v>
      </c>
      <c r="F7" s="18">
        <f t="shared" si="1"/>
        <v>103600</v>
      </c>
      <c r="G7" s="3"/>
      <c r="H7" s="18">
        <f t="shared" si="2"/>
        <v>6216</v>
      </c>
      <c r="I7" s="18">
        <f t="shared" si="3"/>
        <v>124320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">
      <c r="A8" s="15">
        <v>4</v>
      </c>
      <c r="B8" s="16">
        <v>21</v>
      </c>
      <c r="C8" s="16">
        <v>25</v>
      </c>
      <c r="D8" s="15" t="str">
        <f t="shared" si="0"/>
        <v>21,0 a 25,0</v>
      </c>
      <c r="E8" s="17">
        <v>4860</v>
      </c>
      <c r="F8" s="18">
        <f t="shared" si="1"/>
        <v>121500</v>
      </c>
      <c r="G8" s="3"/>
      <c r="H8" s="18">
        <f t="shared" si="2"/>
        <v>5832</v>
      </c>
      <c r="I8" s="18">
        <f t="shared" si="3"/>
        <v>145800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">
      <c r="A9" s="15">
        <v>5</v>
      </c>
      <c r="B9" s="16">
        <v>26</v>
      </c>
      <c r="C9" s="16">
        <v>30</v>
      </c>
      <c r="D9" s="15" t="str">
        <f t="shared" si="0"/>
        <v>26,0 a 30,0</v>
      </c>
      <c r="E9" s="17">
        <v>4637.5</v>
      </c>
      <c r="F9" s="18">
        <f t="shared" si="1"/>
        <v>139125</v>
      </c>
      <c r="G9" s="3"/>
      <c r="H9" s="18">
        <f t="shared" si="2"/>
        <v>5565</v>
      </c>
      <c r="I9" s="18">
        <f t="shared" si="3"/>
        <v>166950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">
      <c r="A10" s="15">
        <v>6</v>
      </c>
      <c r="B10" s="16">
        <v>31</v>
      </c>
      <c r="C10" s="16">
        <v>35</v>
      </c>
      <c r="D10" s="15" t="str">
        <f t="shared" si="0"/>
        <v>31,0 a 35,0</v>
      </c>
      <c r="E10" s="17">
        <v>4420</v>
      </c>
      <c r="F10" s="18">
        <f t="shared" si="1"/>
        <v>154700</v>
      </c>
      <c r="G10" s="3"/>
      <c r="H10" s="18">
        <f t="shared" si="2"/>
        <v>5304</v>
      </c>
      <c r="I10" s="18">
        <f t="shared" si="3"/>
        <v>185640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">
      <c r="A11" s="15">
        <v>7</v>
      </c>
      <c r="B11" s="16">
        <v>36</v>
      </c>
      <c r="C11" s="16">
        <v>40</v>
      </c>
      <c r="D11" s="15" t="str">
        <f t="shared" si="0"/>
        <v>36,0 a 40,0</v>
      </c>
      <c r="E11" s="17">
        <v>4207.5</v>
      </c>
      <c r="F11" s="18">
        <f t="shared" si="1"/>
        <v>168300</v>
      </c>
      <c r="G11" s="3"/>
      <c r="H11" s="18">
        <f t="shared" si="2"/>
        <v>5049</v>
      </c>
      <c r="I11" s="18">
        <f t="shared" si="3"/>
        <v>201960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A12" s="15">
        <v>8</v>
      </c>
      <c r="B12" s="16">
        <v>41</v>
      </c>
      <c r="C12" s="16">
        <v>45</v>
      </c>
      <c r="D12" s="15" t="str">
        <f t="shared" si="0"/>
        <v>41,0 a 45,0</v>
      </c>
      <c r="E12" s="17">
        <v>4000</v>
      </c>
      <c r="F12" s="18">
        <f t="shared" si="1"/>
        <v>180000</v>
      </c>
      <c r="G12" s="3"/>
      <c r="H12" s="18">
        <f t="shared" si="2"/>
        <v>4800</v>
      </c>
      <c r="I12" s="18">
        <f t="shared" si="3"/>
        <v>216000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">
      <c r="A13" s="15">
        <v>9</v>
      </c>
      <c r="B13" s="16">
        <v>46</v>
      </c>
      <c r="C13" s="16">
        <v>50</v>
      </c>
      <c r="D13" s="15" t="str">
        <f t="shared" si="0"/>
        <v>46,0 a 50,0</v>
      </c>
      <c r="E13" s="17">
        <v>3487.5</v>
      </c>
      <c r="F13" s="18">
        <f t="shared" si="1"/>
        <v>174375</v>
      </c>
      <c r="G13" s="3"/>
      <c r="H13" s="18">
        <f t="shared" si="2"/>
        <v>4185</v>
      </c>
      <c r="I13" s="18">
        <f t="shared" si="3"/>
        <v>209250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">
      <c r="A14" s="15">
        <v>10</v>
      </c>
      <c r="B14" s="16">
        <v>51</v>
      </c>
      <c r="C14" s="16">
        <v>55</v>
      </c>
      <c r="D14" s="15" t="str">
        <f t="shared" si="0"/>
        <v>51,0 a 55,0</v>
      </c>
      <c r="E14" s="17">
        <v>3300</v>
      </c>
      <c r="F14" s="18">
        <f t="shared" si="1"/>
        <v>181500</v>
      </c>
      <c r="G14" s="3"/>
      <c r="H14" s="18">
        <f t="shared" si="2"/>
        <v>3960</v>
      </c>
      <c r="I14" s="18">
        <f t="shared" si="3"/>
        <v>217800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">
      <c r="A15" s="15">
        <v>11</v>
      </c>
      <c r="B15" s="16">
        <v>56</v>
      </c>
      <c r="C15" s="16">
        <v>60</v>
      </c>
      <c r="D15" s="15" t="str">
        <f t="shared" si="0"/>
        <v>56,0 a 60,0</v>
      </c>
      <c r="E15" s="17">
        <v>3117.5</v>
      </c>
      <c r="F15" s="18">
        <f t="shared" si="1"/>
        <v>187050</v>
      </c>
      <c r="G15" s="3"/>
      <c r="H15" s="18">
        <f t="shared" si="2"/>
        <v>3741</v>
      </c>
      <c r="I15" s="18">
        <f t="shared" si="3"/>
        <v>224460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">
      <c r="A16" s="15">
        <v>12</v>
      </c>
      <c r="B16" s="16">
        <v>61</v>
      </c>
      <c r="C16" s="16">
        <v>65</v>
      </c>
      <c r="D16" s="15" t="str">
        <f t="shared" si="0"/>
        <v>61,0 a 65,0</v>
      </c>
      <c r="E16" s="17">
        <v>2975</v>
      </c>
      <c r="F16" s="18">
        <f t="shared" si="1"/>
        <v>193375</v>
      </c>
      <c r="G16" s="3"/>
      <c r="H16" s="18">
        <f t="shared" si="2"/>
        <v>3570</v>
      </c>
      <c r="I16" s="18">
        <f t="shared" si="3"/>
        <v>232050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">
      <c r="A17" s="15">
        <v>13</v>
      </c>
      <c r="B17" s="16">
        <v>66</v>
      </c>
      <c r="C17" s="16">
        <v>70</v>
      </c>
      <c r="D17" s="15" t="str">
        <f t="shared" si="0"/>
        <v>66,0 a 70,0</v>
      </c>
      <c r="E17" s="17">
        <v>2835</v>
      </c>
      <c r="F17" s="18">
        <f t="shared" si="1"/>
        <v>198450</v>
      </c>
      <c r="G17" s="3"/>
      <c r="H17" s="18">
        <f t="shared" si="2"/>
        <v>3402</v>
      </c>
      <c r="I17" s="18">
        <f t="shared" si="3"/>
        <v>238140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">
      <c r="A18" s="15">
        <v>14</v>
      </c>
      <c r="B18" s="16">
        <v>71</v>
      </c>
      <c r="C18" s="16">
        <v>75</v>
      </c>
      <c r="D18" s="15" t="str">
        <f t="shared" si="0"/>
        <v>71,0 a 75,0</v>
      </c>
      <c r="E18" s="17">
        <v>2697.5</v>
      </c>
      <c r="F18" s="18">
        <f t="shared" si="1"/>
        <v>202312.5</v>
      </c>
      <c r="G18" s="3"/>
      <c r="H18" s="18">
        <f t="shared" si="2"/>
        <v>3237</v>
      </c>
      <c r="I18" s="18">
        <f t="shared" si="3"/>
        <v>242775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">
      <c r="A19" s="15">
        <v>15</v>
      </c>
      <c r="B19" s="16">
        <v>76</v>
      </c>
      <c r="C19" s="16">
        <v>80</v>
      </c>
      <c r="D19" s="15" t="str">
        <f t="shared" si="0"/>
        <v>76,0 a 80,0</v>
      </c>
      <c r="E19" s="17">
        <v>2562.5</v>
      </c>
      <c r="F19" s="18">
        <f t="shared" si="1"/>
        <v>205000</v>
      </c>
      <c r="G19" s="3"/>
      <c r="H19" s="18">
        <f t="shared" si="2"/>
        <v>3075</v>
      </c>
      <c r="I19" s="18">
        <f t="shared" si="3"/>
        <v>246000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">
      <c r="A20" s="15">
        <v>16</v>
      </c>
      <c r="B20" s="16">
        <v>81</v>
      </c>
      <c r="C20" s="16">
        <v>85</v>
      </c>
      <c r="D20" s="15" t="str">
        <f t="shared" si="0"/>
        <v>81,0 a 85,0</v>
      </c>
      <c r="E20" s="17">
        <v>2430</v>
      </c>
      <c r="F20" s="18">
        <f t="shared" si="1"/>
        <v>206550</v>
      </c>
      <c r="G20" s="3"/>
      <c r="H20" s="18">
        <f t="shared" si="2"/>
        <v>2916</v>
      </c>
      <c r="I20" s="18">
        <f t="shared" si="3"/>
        <v>247860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2">
      <c r="A21" s="15">
        <v>17</v>
      </c>
      <c r="B21" s="16">
        <v>86</v>
      </c>
      <c r="C21" s="16">
        <v>90</v>
      </c>
      <c r="D21" s="15" t="str">
        <f t="shared" si="0"/>
        <v>86,0 a 90,0</v>
      </c>
      <c r="E21" s="17">
        <v>2400</v>
      </c>
      <c r="F21" s="18">
        <f t="shared" si="1"/>
        <v>216000</v>
      </c>
      <c r="G21" s="3"/>
      <c r="H21" s="18">
        <f t="shared" si="2"/>
        <v>2880</v>
      </c>
      <c r="I21" s="18">
        <f t="shared" si="3"/>
        <v>259200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2">
      <c r="A22" s="15">
        <v>18</v>
      </c>
      <c r="B22" s="16">
        <v>91</v>
      </c>
      <c r="C22" s="16">
        <v>95</v>
      </c>
      <c r="D22" s="15" t="str">
        <f t="shared" si="0"/>
        <v>91,0 a 95,0</v>
      </c>
      <c r="E22" s="17">
        <v>2370</v>
      </c>
      <c r="F22" s="18">
        <f t="shared" si="1"/>
        <v>225150</v>
      </c>
      <c r="G22" s="3"/>
      <c r="H22" s="18">
        <f t="shared" si="2"/>
        <v>2844</v>
      </c>
      <c r="I22" s="18">
        <f t="shared" si="3"/>
        <v>270180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2">
      <c r="A23" s="15">
        <v>19</v>
      </c>
      <c r="B23" s="16">
        <v>96</v>
      </c>
      <c r="C23" s="16">
        <v>100</v>
      </c>
      <c r="D23" s="15" t="str">
        <f t="shared" si="0"/>
        <v>96,0 a 100,0</v>
      </c>
      <c r="E23" s="17">
        <v>2340</v>
      </c>
      <c r="F23" s="18">
        <f t="shared" si="1"/>
        <v>234000</v>
      </c>
      <c r="G23" s="3"/>
      <c r="H23" s="18">
        <f t="shared" si="2"/>
        <v>2808</v>
      </c>
      <c r="I23" s="18">
        <f t="shared" si="3"/>
        <v>280800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2">
      <c r="A24" s="15">
        <v>20</v>
      </c>
      <c r="B24" s="16">
        <v>101</v>
      </c>
      <c r="C24" s="16">
        <v>125</v>
      </c>
      <c r="D24" s="15" t="str">
        <f t="shared" si="0"/>
        <v>101,0 a 125,0</v>
      </c>
      <c r="E24" s="17">
        <v>2310</v>
      </c>
      <c r="F24" s="18">
        <f t="shared" si="1"/>
        <v>288750</v>
      </c>
      <c r="G24" s="3"/>
      <c r="H24" s="18">
        <f t="shared" si="2"/>
        <v>2772</v>
      </c>
      <c r="I24" s="18">
        <f t="shared" si="3"/>
        <v>346500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2">
      <c r="A25" s="15">
        <v>21</v>
      </c>
      <c r="B25" s="16">
        <v>126</v>
      </c>
      <c r="C25" s="16">
        <v>150</v>
      </c>
      <c r="D25" s="15" t="str">
        <f t="shared" si="0"/>
        <v>126,0 a 150,0</v>
      </c>
      <c r="E25" s="17">
        <v>2280</v>
      </c>
      <c r="F25" s="18">
        <f t="shared" si="1"/>
        <v>342000</v>
      </c>
      <c r="G25" s="3"/>
      <c r="H25" s="18">
        <f t="shared" si="2"/>
        <v>2736</v>
      </c>
      <c r="I25" s="18">
        <f t="shared" si="3"/>
        <v>410400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2">
      <c r="A26" s="15">
        <v>22</v>
      </c>
      <c r="B26" s="16">
        <v>151</v>
      </c>
      <c r="C26" s="16">
        <v>175</v>
      </c>
      <c r="D26" s="15" t="str">
        <f t="shared" si="0"/>
        <v>151,0 a 175,0</v>
      </c>
      <c r="E26" s="17">
        <v>2250</v>
      </c>
      <c r="F26" s="18">
        <f t="shared" si="1"/>
        <v>393750</v>
      </c>
      <c r="G26" s="3"/>
      <c r="H26" s="18">
        <f t="shared" si="2"/>
        <v>2700</v>
      </c>
      <c r="I26" s="18">
        <f t="shared" si="3"/>
        <v>472500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2">
      <c r="A27" s="15">
        <v>23</v>
      </c>
      <c r="B27" s="16">
        <v>176</v>
      </c>
      <c r="C27" s="16">
        <v>200</v>
      </c>
      <c r="D27" s="15" t="str">
        <f t="shared" si="0"/>
        <v>176,0 a 200,0</v>
      </c>
      <c r="E27" s="17">
        <v>2220</v>
      </c>
      <c r="F27" s="18">
        <f t="shared" si="1"/>
        <v>444000</v>
      </c>
      <c r="G27" s="3"/>
      <c r="H27" s="18">
        <f t="shared" si="2"/>
        <v>2664</v>
      </c>
      <c r="I27" s="18">
        <f t="shared" si="3"/>
        <v>532800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">
      <c r="A28" s="15">
        <v>24</v>
      </c>
      <c r="B28" s="16">
        <v>201</v>
      </c>
      <c r="C28" s="16">
        <v>225</v>
      </c>
      <c r="D28" s="15" t="str">
        <f t="shared" si="0"/>
        <v>201,0 a 225,0</v>
      </c>
      <c r="E28" s="17">
        <v>2190</v>
      </c>
      <c r="F28" s="18">
        <f t="shared" si="1"/>
        <v>492750</v>
      </c>
      <c r="G28" s="3"/>
      <c r="H28" s="18">
        <f t="shared" si="2"/>
        <v>2628</v>
      </c>
      <c r="I28" s="18">
        <f t="shared" si="3"/>
        <v>591300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">
      <c r="A29" s="15">
        <v>25</v>
      </c>
      <c r="B29" s="16">
        <v>226</v>
      </c>
      <c r="C29" s="16">
        <v>250</v>
      </c>
      <c r="D29" s="15" t="str">
        <f t="shared" si="0"/>
        <v>226,0 a 250,0</v>
      </c>
      <c r="E29" s="17">
        <v>2160</v>
      </c>
      <c r="F29" s="18">
        <f t="shared" si="1"/>
        <v>540000</v>
      </c>
      <c r="G29" s="3"/>
      <c r="H29" s="18">
        <f t="shared" si="2"/>
        <v>2592</v>
      </c>
      <c r="I29" s="18">
        <f t="shared" si="3"/>
        <v>648000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">
      <c r="A30" s="15">
        <v>26</v>
      </c>
      <c r="B30" s="16">
        <v>251</v>
      </c>
      <c r="C30" s="16">
        <v>275</v>
      </c>
      <c r="D30" s="15" t="str">
        <f t="shared" si="0"/>
        <v>251,0 a 275,0</v>
      </c>
      <c r="E30" s="17">
        <v>2130</v>
      </c>
      <c r="F30" s="18">
        <f t="shared" si="1"/>
        <v>585750</v>
      </c>
      <c r="G30" s="3"/>
      <c r="H30" s="18">
        <f t="shared" si="2"/>
        <v>2556</v>
      </c>
      <c r="I30" s="18">
        <f t="shared" si="3"/>
        <v>702900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">
      <c r="A31" s="15">
        <v>27</v>
      </c>
      <c r="B31" s="16">
        <v>276</v>
      </c>
      <c r="C31" s="16">
        <v>300</v>
      </c>
      <c r="D31" s="15" t="str">
        <f t="shared" si="0"/>
        <v>276,0 a 300,0</v>
      </c>
      <c r="E31" s="17">
        <v>2100</v>
      </c>
      <c r="F31" s="18">
        <f t="shared" si="1"/>
        <v>630000</v>
      </c>
      <c r="G31" s="3"/>
      <c r="H31" s="18">
        <f t="shared" si="2"/>
        <v>2520</v>
      </c>
      <c r="I31" s="18">
        <f t="shared" si="3"/>
        <v>756000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">
      <c r="A32" s="15">
        <v>28</v>
      </c>
      <c r="B32" s="16">
        <v>301</v>
      </c>
      <c r="C32" s="16">
        <v>325</v>
      </c>
      <c r="D32" s="15" t="str">
        <f t="shared" si="0"/>
        <v>301,0 a 325,0</v>
      </c>
      <c r="E32" s="17">
        <v>2070</v>
      </c>
      <c r="F32" s="18">
        <f t="shared" si="1"/>
        <v>672750</v>
      </c>
      <c r="G32" s="3"/>
      <c r="H32" s="18">
        <f t="shared" si="2"/>
        <v>2484</v>
      </c>
      <c r="I32" s="18">
        <f t="shared" si="3"/>
        <v>807300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">
      <c r="A33" s="15">
        <v>29</v>
      </c>
      <c r="B33" s="16">
        <v>326</v>
      </c>
      <c r="C33" s="16">
        <v>350</v>
      </c>
      <c r="D33" s="15" t="str">
        <f t="shared" si="0"/>
        <v>326,0 a 350,0</v>
      </c>
      <c r="E33" s="17">
        <v>2040</v>
      </c>
      <c r="F33" s="18">
        <f t="shared" si="1"/>
        <v>714000</v>
      </c>
      <c r="G33" s="3"/>
      <c r="H33" s="18">
        <f t="shared" si="2"/>
        <v>2448</v>
      </c>
      <c r="I33" s="18">
        <f t="shared" si="3"/>
        <v>856800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">
      <c r="A34" s="15">
        <v>30</v>
      </c>
      <c r="B34" s="16">
        <v>351</v>
      </c>
      <c r="C34" s="16">
        <v>375</v>
      </c>
      <c r="D34" s="15" t="str">
        <f t="shared" si="0"/>
        <v>351,0 a 375,0</v>
      </c>
      <c r="E34" s="17">
        <v>2010</v>
      </c>
      <c r="F34" s="18">
        <f t="shared" si="1"/>
        <v>753750</v>
      </c>
      <c r="G34" s="3"/>
      <c r="H34" s="18">
        <f t="shared" si="2"/>
        <v>2412</v>
      </c>
      <c r="I34" s="18">
        <f t="shared" si="3"/>
        <v>904500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">
      <c r="A35" s="15">
        <v>31</v>
      </c>
      <c r="B35" s="16">
        <v>376</v>
      </c>
      <c r="C35" s="16">
        <v>400</v>
      </c>
      <c r="D35" s="15" t="str">
        <f t="shared" si="0"/>
        <v>376,0 a 400,0</v>
      </c>
      <c r="E35" s="17">
        <v>1980</v>
      </c>
      <c r="F35" s="18">
        <f t="shared" si="1"/>
        <v>792000</v>
      </c>
      <c r="G35" s="3"/>
      <c r="H35" s="18">
        <f t="shared" si="2"/>
        <v>2376</v>
      </c>
      <c r="I35" s="18">
        <f t="shared" si="3"/>
        <v>950400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">
      <c r="A36" s="15">
        <v>32</v>
      </c>
      <c r="B36" s="16">
        <v>401</v>
      </c>
      <c r="C36" s="16">
        <v>425</v>
      </c>
      <c r="D36" s="15" t="str">
        <f t="shared" si="0"/>
        <v>401,0 a 425,0</v>
      </c>
      <c r="E36" s="17">
        <v>1950</v>
      </c>
      <c r="F36" s="18">
        <f t="shared" si="1"/>
        <v>828750</v>
      </c>
      <c r="G36" s="3"/>
      <c r="H36" s="18">
        <f t="shared" si="2"/>
        <v>2340</v>
      </c>
      <c r="I36" s="18">
        <f t="shared" si="3"/>
        <v>994500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">
      <c r="A37" s="15">
        <v>33</v>
      </c>
      <c r="B37" s="16">
        <v>426</v>
      </c>
      <c r="C37" s="16">
        <v>450</v>
      </c>
      <c r="D37" s="15" t="str">
        <f t="shared" si="0"/>
        <v>426,0 a 450,0</v>
      </c>
      <c r="E37" s="17">
        <v>1920</v>
      </c>
      <c r="F37" s="18">
        <f t="shared" si="1"/>
        <v>864000</v>
      </c>
      <c r="G37" s="3"/>
      <c r="H37" s="18">
        <f t="shared" si="2"/>
        <v>2304</v>
      </c>
      <c r="I37" s="18">
        <f t="shared" si="3"/>
        <v>1036800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">
      <c r="A38" s="15">
        <v>34</v>
      </c>
      <c r="B38" s="16">
        <v>451</v>
      </c>
      <c r="C38" s="16">
        <v>475</v>
      </c>
      <c r="D38" s="15" t="str">
        <f t="shared" si="0"/>
        <v>451,0 a 475,0</v>
      </c>
      <c r="E38" s="17">
        <v>1890</v>
      </c>
      <c r="F38" s="18">
        <f t="shared" si="1"/>
        <v>897750</v>
      </c>
      <c r="G38" s="3"/>
      <c r="H38" s="18">
        <f t="shared" si="2"/>
        <v>2268</v>
      </c>
      <c r="I38" s="18">
        <f t="shared" si="3"/>
        <v>1077300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">
      <c r="A39" s="15">
        <v>35</v>
      </c>
      <c r="B39" s="16">
        <v>476</v>
      </c>
      <c r="C39" s="16">
        <v>500</v>
      </c>
      <c r="D39" s="15" t="str">
        <f t="shared" si="0"/>
        <v>476,0 a 500,0</v>
      </c>
      <c r="E39" s="17">
        <v>1800</v>
      </c>
      <c r="F39" s="18">
        <f t="shared" si="1"/>
        <v>900000</v>
      </c>
      <c r="G39" s="3"/>
      <c r="H39" s="18">
        <f t="shared" si="2"/>
        <v>2160</v>
      </c>
      <c r="I39" s="18">
        <f t="shared" si="3"/>
        <v>1080000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">
      <c r="A40" s="19">
        <v>36</v>
      </c>
      <c r="B40" s="20">
        <v>501</v>
      </c>
      <c r="C40" s="20">
        <v>525</v>
      </c>
      <c r="D40" s="19" t="str">
        <f t="shared" si="0"/>
        <v>501,0 a 525,0</v>
      </c>
      <c r="E40" s="21">
        <v>1785</v>
      </c>
      <c r="F40" s="22">
        <f t="shared" si="1"/>
        <v>937125</v>
      </c>
      <c r="G40" s="3"/>
      <c r="H40" s="22">
        <f t="shared" si="2"/>
        <v>2142</v>
      </c>
      <c r="I40" s="22">
        <f t="shared" si="3"/>
        <v>1124550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2">
      <c r="A41" s="15">
        <v>37</v>
      </c>
      <c r="B41" s="16">
        <v>526</v>
      </c>
      <c r="C41" s="16">
        <v>550</v>
      </c>
      <c r="D41" s="15" t="str">
        <f t="shared" si="0"/>
        <v>526,0 a 550,0</v>
      </c>
      <c r="E41" s="17">
        <v>1770</v>
      </c>
      <c r="F41" s="18">
        <f t="shared" si="1"/>
        <v>973500</v>
      </c>
      <c r="G41" s="3"/>
      <c r="H41" s="18">
        <f t="shared" si="2"/>
        <v>2124</v>
      </c>
      <c r="I41" s="18">
        <f t="shared" si="3"/>
        <v>1168200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2">
      <c r="A42" s="15">
        <v>38</v>
      </c>
      <c r="B42" s="16">
        <v>551</v>
      </c>
      <c r="C42" s="16">
        <v>600</v>
      </c>
      <c r="D42" s="15" t="str">
        <f t="shared" si="0"/>
        <v>551,0 a 600,0</v>
      </c>
      <c r="E42" s="17">
        <v>1740</v>
      </c>
      <c r="F42" s="18">
        <f t="shared" si="1"/>
        <v>1044000</v>
      </c>
      <c r="G42" s="3"/>
      <c r="H42" s="18">
        <f t="shared" si="2"/>
        <v>2088</v>
      </c>
      <c r="I42" s="18">
        <f t="shared" si="3"/>
        <v>1252800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2">
      <c r="A43" s="15">
        <v>39</v>
      </c>
      <c r="B43" s="16">
        <v>601</v>
      </c>
      <c r="C43" s="16">
        <v>650</v>
      </c>
      <c r="D43" s="15" t="str">
        <f t="shared" si="0"/>
        <v>601,0 a 650,0</v>
      </c>
      <c r="E43" s="17">
        <v>1710</v>
      </c>
      <c r="F43" s="18">
        <f t="shared" si="1"/>
        <v>1111500</v>
      </c>
      <c r="G43" s="3"/>
      <c r="H43" s="18">
        <f t="shared" si="2"/>
        <v>2052</v>
      </c>
      <c r="I43" s="18">
        <f t="shared" si="3"/>
        <v>1333800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2">
      <c r="A44" s="15">
        <v>40</v>
      </c>
      <c r="B44" s="16">
        <v>651</v>
      </c>
      <c r="C44" s="16">
        <v>700</v>
      </c>
      <c r="D44" s="15" t="str">
        <f t="shared" si="0"/>
        <v>651,0 a 700,0</v>
      </c>
      <c r="E44" s="17">
        <v>1680</v>
      </c>
      <c r="F44" s="18">
        <f t="shared" si="1"/>
        <v>1176000</v>
      </c>
      <c r="G44" s="3"/>
      <c r="H44" s="18">
        <f t="shared" si="2"/>
        <v>2016</v>
      </c>
      <c r="I44" s="18">
        <f t="shared" si="3"/>
        <v>1411200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2">
      <c r="A45" s="15">
        <v>41</v>
      </c>
      <c r="B45" s="16">
        <v>701</v>
      </c>
      <c r="C45" s="16">
        <v>750</v>
      </c>
      <c r="D45" s="15" t="str">
        <f t="shared" si="0"/>
        <v>701,0 a 750,0</v>
      </c>
      <c r="E45" s="17">
        <v>1650</v>
      </c>
      <c r="F45" s="18">
        <f t="shared" si="1"/>
        <v>1237500</v>
      </c>
      <c r="G45" s="3"/>
      <c r="H45" s="18">
        <f t="shared" si="2"/>
        <v>1980</v>
      </c>
      <c r="I45" s="18">
        <f t="shared" si="3"/>
        <v>1485000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2">
      <c r="A46" s="15">
        <v>42</v>
      </c>
      <c r="B46" s="16">
        <v>751</v>
      </c>
      <c r="C46" s="16">
        <v>800</v>
      </c>
      <c r="D46" s="15" t="str">
        <f t="shared" si="0"/>
        <v>751,0 a 800,0</v>
      </c>
      <c r="E46" s="17">
        <v>1620</v>
      </c>
      <c r="F46" s="18">
        <f t="shared" si="1"/>
        <v>1296000</v>
      </c>
      <c r="G46" s="3"/>
      <c r="H46" s="18">
        <f t="shared" si="2"/>
        <v>1944</v>
      </c>
      <c r="I46" s="18">
        <f t="shared" si="3"/>
        <v>1555200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2">
      <c r="A47" s="15">
        <v>43</v>
      </c>
      <c r="B47" s="16">
        <v>801</v>
      </c>
      <c r="C47" s="16">
        <v>850</v>
      </c>
      <c r="D47" s="15" t="str">
        <f t="shared" si="0"/>
        <v>801,0 a 850,0</v>
      </c>
      <c r="E47" s="17">
        <v>1590</v>
      </c>
      <c r="F47" s="18">
        <f t="shared" si="1"/>
        <v>1351500</v>
      </c>
      <c r="G47" s="3"/>
      <c r="H47" s="18">
        <f t="shared" si="2"/>
        <v>1908</v>
      </c>
      <c r="I47" s="18">
        <f t="shared" si="3"/>
        <v>1621800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2">
      <c r="A48" s="15">
        <v>44</v>
      </c>
      <c r="B48" s="16">
        <v>851</v>
      </c>
      <c r="C48" s="16">
        <v>900</v>
      </c>
      <c r="D48" s="15" t="str">
        <f t="shared" si="0"/>
        <v>851,0 a 900,0</v>
      </c>
      <c r="E48" s="17">
        <v>1560</v>
      </c>
      <c r="F48" s="18">
        <f t="shared" si="1"/>
        <v>1404000</v>
      </c>
      <c r="G48" s="3"/>
      <c r="H48" s="18">
        <f t="shared" si="2"/>
        <v>1872</v>
      </c>
      <c r="I48" s="18">
        <f t="shared" si="3"/>
        <v>1684800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2">
      <c r="A49" s="15">
        <v>45</v>
      </c>
      <c r="B49" s="16">
        <v>901</v>
      </c>
      <c r="C49" s="16">
        <v>950</v>
      </c>
      <c r="D49" s="15" t="str">
        <f t="shared" si="0"/>
        <v>901,0 a 950,0</v>
      </c>
      <c r="E49" s="17">
        <v>1530</v>
      </c>
      <c r="F49" s="18">
        <f t="shared" si="1"/>
        <v>1453500</v>
      </c>
      <c r="G49" s="3"/>
      <c r="H49" s="18">
        <f t="shared" si="2"/>
        <v>1836</v>
      </c>
      <c r="I49" s="18">
        <f t="shared" si="3"/>
        <v>1744200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2">
      <c r="A50" s="15">
        <v>46</v>
      </c>
      <c r="B50" s="16">
        <v>951</v>
      </c>
      <c r="C50" s="16">
        <v>1000</v>
      </c>
      <c r="D50" s="15" t="str">
        <f t="shared" si="0"/>
        <v>951,0 a 1000,0</v>
      </c>
      <c r="E50" s="17">
        <v>1500</v>
      </c>
      <c r="F50" s="18">
        <f t="shared" si="1"/>
        <v>1500000</v>
      </c>
      <c r="G50" s="3"/>
      <c r="H50" s="18">
        <f t="shared" si="2"/>
        <v>1800</v>
      </c>
      <c r="I50" s="18">
        <f t="shared" si="3"/>
        <v>1800000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2">
      <c r="A51" s="15">
        <v>47</v>
      </c>
      <c r="B51" s="16">
        <v>1001</v>
      </c>
      <c r="C51" s="16">
        <v>1100</v>
      </c>
      <c r="D51" s="15" t="str">
        <f t="shared" si="0"/>
        <v>1001,0 a 1100,0</v>
      </c>
      <c r="E51" s="17">
        <v>1440</v>
      </c>
      <c r="F51" s="18">
        <f t="shared" si="1"/>
        <v>1584000</v>
      </c>
      <c r="G51" s="3"/>
      <c r="H51" s="18">
        <f t="shared" si="2"/>
        <v>1728</v>
      </c>
      <c r="I51" s="18">
        <f t="shared" si="3"/>
        <v>1900800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2">
      <c r="A52" s="15">
        <v>48</v>
      </c>
      <c r="B52" s="16">
        <v>1101</v>
      </c>
      <c r="C52" s="16">
        <v>1200</v>
      </c>
      <c r="D52" s="15" t="str">
        <f t="shared" si="0"/>
        <v>1101,0 a 1200,0</v>
      </c>
      <c r="E52" s="17">
        <v>1410</v>
      </c>
      <c r="F52" s="18">
        <f t="shared" si="1"/>
        <v>1692000</v>
      </c>
      <c r="G52" s="3"/>
      <c r="H52" s="18">
        <f t="shared" si="2"/>
        <v>1692</v>
      </c>
      <c r="I52" s="18">
        <f t="shared" si="3"/>
        <v>2030400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2">
      <c r="A53" s="15">
        <v>49</v>
      </c>
      <c r="B53" s="16">
        <v>1201</v>
      </c>
      <c r="C53" s="16">
        <v>1300</v>
      </c>
      <c r="D53" s="15" t="str">
        <f t="shared" si="0"/>
        <v>1201,0 a 1300,0</v>
      </c>
      <c r="E53" s="17">
        <v>1380</v>
      </c>
      <c r="F53" s="18">
        <f t="shared" si="1"/>
        <v>1794000</v>
      </c>
      <c r="G53" s="3"/>
      <c r="H53" s="18">
        <f t="shared" si="2"/>
        <v>1656</v>
      </c>
      <c r="I53" s="18">
        <f t="shared" si="3"/>
        <v>2152800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2">
      <c r="A54" s="15">
        <v>50</v>
      </c>
      <c r="B54" s="16">
        <v>1301</v>
      </c>
      <c r="C54" s="16">
        <v>1400</v>
      </c>
      <c r="D54" s="15" t="str">
        <f t="shared" si="0"/>
        <v>1301,0 a 1400,0</v>
      </c>
      <c r="E54" s="17">
        <v>1350</v>
      </c>
      <c r="F54" s="18">
        <f t="shared" si="1"/>
        <v>1890000</v>
      </c>
      <c r="G54" s="3"/>
      <c r="H54" s="18">
        <f t="shared" si="2"/>
        <v>1620</v>
      </c>
      <c r="I54" s="18">
        <f t="shared" si="3"/>
        <v>2268000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2">
      <c r="A55" s="19">
        <v>51</v>
      </c>
      <c r="B55" s="20">
        <v>1401</v>
      </c>
      <c r="C55" s="20">
        <v>1500</v>
      </c>
      <c r="D55" s="19" t="str">
        <f t="shared" si="0"/>
        <v>1401,0 a 1500,0</v>
      </c>
      <c r="E55" s="21">
        <v>1320</v>
      </c>
      <c r="F55" s="22">
        <f t="shared" si="1"/>
        <v>1980000</v>
      </c>
      <c r="G55" s="3"/>
      <c r="H55" s="22">
        <f t="shared" si="2"/>
        <v>1584</v>
      </c>
      <c r="I55" s="22">
        <f t="shared" si="3"/>
        <v>2376000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2">
      <c r="A56" s="19">
        <v>52</v>
      </c>
      <c r="B56" s="20">
        <v>1501</v>
      </c>
      <c r="C56" s="20">
        <v>1600</v>
      </c>
      <c r="D56" s="19" t="str">
        <f t="shared" si="0"/>
        <v>1501,0 a 1600,0</v>
      </c>
      <c r="E56" s="21">
        <v>1290</v>
      </c>
      <c r="F56" s="22">
        <f t="shared" si="1"/>
        <v>2064000</v>
      </c>
      <c r="G56" s="3"/>
      <c r="H56" s="22">
        <f t="shared" si="2"/>
        <v>1548</v>
      </c>
      <c r="I56" s="22">
        <f t="shared" si="3"/>
        <v>2476800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</sheetData>
  <mergeCells count="2">
    <mergeCell ref="A3:F3"/>
    <mergeCell ref="H3:I3"/>
  </mergeCells>
  <pageMargins left="0.75" right="0.75" top="1" bottom="1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5" defaultRowHeight="15" customHeight="1" x14ac:dyDescent="0.2"/>
  <cols>
    <col min="1" max="1" width="30" customWidth="1"/>
    <col min="2" max="2" width="90" customWidth="1"/>
    <col min="3" max="26" width="8.6640625" customWidth="1"/>
  </cols>
  <sheetData>
    <row r="1" spans="1:2" ht="18" x14ac:dyDescent="0.2">
      <c r="A1" s="1" t="s">
        <v>0</v>
      </c>
    </row>
    <row r="3" spans="1:2" x14ac:dyDescent="0.2">
      <c r="A3" s="4" t="s">
        <v>2</v>
      </c>
      <c r="B3" s="5" t="s">
        <v>3</v>
      </c>
    </row>
    <row r="4" spans="1:2" x14ac:dyDescent="0.2">
      <c r="A4" s="7" t="s">
        <v>4</v>
      </c>
      <c r="B4" s="8" t="s">
        <v>5</v>
      </c>
    </row>
    <row r="5" spans="1:2" ht="30" x14ac:dyDescent="0.2">
      <c r="A5" s="7" t="s">
        <v>7</v>
      </c>
      <c r="B5" s="8" t="s">
        <v>8</v>
      </c>
    </row>
    <row r="6" spans="1:2" x14ac:dyDescent="0.2">
      <c r="A6" s="7" t="s">
        <v>9</v>
      </c>
      <c r="B6" s="8" t="s">
        <v>10</v>
      </c>
    </row>
    <row r="7" spans="1:2" x14ac:dyDescent="0.2">
      <c r="A7" s="7" t="s">
        <v>11</v>
      </c>
      <c r="B7" s="8" t="s">
        <v>12</v>
      </c>
    </row>
    <row r="8" spans="1:2" x14ac:dyDescent="0.2">
      <c r="A8" s="7" t="s">
        <v>13</v>
      </c>
      <c r="B8" s="8" t="s">
        <v>14</v>
      </c>
    </row>
    <row r="9" spans="1:2" ht="30" x14ac:dyDescent="0.2">
      <c r="A9" s="7" t="s">
        <v>15</v>
      </c>
      <c r="B9" s="8" t="s">
        <v>16</v>
      </c>
    </row>
    <row r="10" spans="1:2" x14ac:dyDescent="0.2">
      <c r="A10" s="10" t="s">
        <v>17</v>
      </c>
      <c r="B10" s="8" t="s">
        <v>18</v>
      </c>
    </row>
    <row r="11" spans="1:2" x14ac:dyDescent="0.2">
      <c r="A11" s="12" t="s">
        <v>19</v>
      </c>
      <c r="B11" s="8" t="s">
        <v>20</v>
      </c>
    </row>
    <row r="12" spans="1:2" x14ac:dyDescent="0.2">
      <c r="A12" s="7" t="s">
        <v>21</v>
      </c>
      <c r="B12" s="8" t="s">
        <v>22</v>
      </c>
    </row>
    <row r="13" spans="1:2" x14ac:dyDescent="0.2">
      <c r="A13" s="7" t="s">
        <v>24</v>
      </c>
      <c r="B13" s="8" t="s">
        <v>25</v>
      </c>
    </row>
    <row r="14" spans="1:2" x14ac:dyDescent="0.2">
      <c r="A14" s="7" t="s">
        <v>26</v>
      </c>
      <c r="B14" s="8" t="s">
        <v>27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IRRIBARRA</cp:lastModifiedBy>
  <dcterms:modified xsi:type="dcterms:W3CDTF">2026-10-04T05:00:25Z</dcterms:modified>
</cp:coreProperties>
</file>